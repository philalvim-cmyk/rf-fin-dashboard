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rfconsultoreseassociados.sharepoint.com/sites/PROJETOSATUAISRF/Documentos Compartilhados/TEMPO DE CRIANÇA/"/>
    </mc:Choice>
  </mc:AlternateContent>
  <xr:revisionPtr revIDLastSave="54" documentId="13_ncr:1_{F9EC1DF5-AEA3-4120-8A40-02A5D424B223}" xr6:coauthVersionLast="47" xr6:coauthVersionMax="47" xr10:uidLastSave="{8606AE15-5246-4025-97B9-3DC99746D77E}"/>
  <bookViews>
    <workbookView xWindow="28680" yWindow="-120" windowWidth="21840" windowHeight="13020" xr2:uid="{00000000-000D-0000-FFFF-FFFF00000000}"/>
  </bookViews>
  <sheets>
    <sheet name="CONTROLE" sheetId="1" r:id="rId1"/>
    <sheet name="HISTÓRICO FATURAMENT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5" i="1"/>
  <c r="E12" i="1"/>
  <c r="E24" i="1" s="1"/>
  <c r="E46" i="1" s="1"/>
  <c r="E48" i="1" s="1"/>
  <c r="E25" i="1"/>
  <c r="E23" i="1"/>
  <c r="D6" i="1"/>
  <c r="E6" i="1" s="1"/>
  <c r="E18" i="1"/>
  <c r="E22" i="1" l="1"/>
  <c r="E17" i="1"/>
  <c r="B10" i="2"/>
</calcChain>
</file>

<file path=xl/sharedStrings.xml><?xml version="1.0" encoding="utf-8"?>
<sst xmlns="http://schemas.openxmlformats.org/spreadsheetml/2006/main" count="36" uniqueCount="36">
  <si>
    <t>INFORMATIVO DIÁRIO</t>
  </si>
  <si>
    <t>DIAS ÚTEIS</t>
  </si>
  <si>
    <t>DIAS DO MÊS</t>
  </si>
  <si>
    <t>(-) CUSTO FIXO</t>
  </si>
  <si>
    <t>(-) CUSTO NÃO OPERACIONAL</t>
  </si>
  <si>
    <t>PONTO EQUILIBRIO</t>
  </si>
  <si>
    <t>META MÊS</t>
  </si>
  <si>
    <t>FALTA A REALIZAR NO MÊS</t>
  </si>
  <si>
    <t>DIVISOR</t>
  </si>
  <si>
    <t>Ruim</t>
  </si>
  <si>
    <t>Regular</t>
  </si>
  <si>
    <t>Bom</t>
  </si>
  <si>
    <t>Ótimo</t>
  </si>
  <si>
    <t>Fim</t>
  </si>
  <si>
    <t>PONTEIRO</t>
  </si>
  <si>
    <t>Valor</t>
  </si>
  <si>
    <t xml:space="preserve">Tamanho </t>
  </si>
  <si>
    <t>Complemento</t>
  </si>
  <si>
    <t xml:space="preserve">META DO DIA </t>
  </si>
  <si>
    <t>FALTA A REALIZAR POR DIA</t>
  </si>
  <si>
    <t xml:space="preserve">% ATINGIMENTO </t>
  </si>
  <si>
    <t>FAT;</t>
  </si>
  <si>
    <t>VELOCIMETRO - NÃO ALTERAR OS VALORES</t>
  </si>
  <si>
    <t>ANO</t>
  </si>
  <si>
    <t>(=) EBITDA</t>
  </si>
  <si>
    <t>(=) FLUXO DE CAIXA LIVRE</t>
  </si>
  <si>
    <t>PONTO DE EQUILÍBRIO</t>
  </si>
  <si>
    <t>salario base 960</t>
  </si>
  <si>
    <t>salario total 1700</t>
  </si>
  <si>
    <t xml:space="preserve">ATUALIZADO COM FATURAÇÃO ATÉ DIA </t>
  </si>
  <si>
    <t>PROXIMA ATUALIZAÇÃO DIAS</t>
  </si>
  <si>
    <t>TEMPO DE CRIANÇA</t>
  </si>
  <si>
    <t>MARGEM DE CONTRIBUIÇÃO 2025</t>
  </si>
  <si>
    <t>(+) FAT DIÁRIA ACUMULADA</t>
  </si>
  <si>
    <t>(+) FATURAMENTO PREVISTO</t>
  </si>
  <si>
    <t>MARGEM DE CONTRIBUIÇÃO (31%)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</si>
</sst>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d/m/yy\ h:mm;@"/>
    <numFmt numFmtId="165" formatCode="[$-416]mmmm\-yy;@"/>
    <numFmt numFmtId="166" formatCode="[$-416]mmm\-yy;@"/>
    <numFmt numFmtId="167" formatCode="#,##0.00_ ;[Red]\-#,##0.00\ "/>
    <numFmt numFmtId="170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4" tint="0.79998168889431442"/>
        <bgColor indexed="27"/>
      </patternFill>
    </fill>
    <fill>
      <patternFill patternType="solid">
        <fgColor rgb="FF92D05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3" borderId="0" xfId="0" applyFill="1"/>
    <xf numFmtId="3" fontId="2" fillId="5" borderId="1" xfId="0" applyNumberFormat="1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44" fontId="0" fillId="0" borderId="0" xfId="0" applyNumberFormat="1"/>
    <xf numFmtId="0" fontId="4" fillId="0" borderId="5" xfId="0" applyFont="1" applyBorder="1"/>
    <xf numFmtId="0" fontId="5" fillId="2" borderId="7" xfId="0" applyFont="1" applyFill="1" applyBorder="1"/>
    <xf numFmtId="0" fontId="5" fillId="3" borderId="10" xfId="0" applyFont="1" applyFill="1" applyBorder="1"/>
    <xf numFmtId="0" fontId="3" fillId="3" borderId="0" xfId="0" applyFont="1" applyFill="1" applyAlignment="1">
      <alignment horizontal="center"/>
    </xf>
    <xf numFmtId="167" fontId="5" fillId="2" borderId="4" xfId="1" applyNumberFormat="1" applyFont="1" applyFill="1" applyBorder="1" applyAlignment="1">
      <alignment horizontal="center"/>
    </xf>
    <xf numFmtId="167" fontId="5" fillId="3" borderId="20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6" fillId="8" borderId="6" xfId="0" applyFont="1" applyFill="1" applyBorder="1"/>
    <xf numFmtId="0" fontId="4" fillId="9" borderId="6" xfId="0" applyFont="1" applyFill="1" applyBorder="1"/>
    <xf numFmtId="0" fontId="5" fillId="9" borderId="6" xfId="0" applyFont="1" applyFill="1" applyBorder="1"/>
    <xf numFmtId="0" fontId="6" fillId="8" borderId="5" xfId="0" applyFont="1" applyFill="1" applyBorder="1"/>
    <xf numFmtId="0" fontId="5" fillId="10" borderId="6" xfId="0" applyFont="1" applyFill="1" applyBorder="1"/>
    <xf numFmtId="0" fontId="5" fillId="7" borderId="6" xfId="0" applyFont="1" applyFill="1" applyBorder="1"/>
    <xf numFmtId="10" fontId="5" fillId="7" borderId="6" xfId="2" applyNumberFormat="1" applyFont="1" applyFill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17" fontId="2" fillId="4" borderId="1" xfId="0" applyNumberFormat="1" applyFont="1" applyFill="1" applyBorder="1" applyAlignment="1">
      <alignment horizontal="center" vertical="center" wrapText="1"/>
    </xf>
    <xf numFmtId="16" fontId="3" fillId="0" borderId="0" xfId="0" applyNumberFormat="1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6" xfId="0" applyFont="1" applyFill="1" applyBorder="1"/>
    <xf numFmtId="1" fontId="4" fillId="7" borderId="3" xfId="0" applyNumberFormat="1" applyFont="1" applyFill="1" applyBorder="1" applyAlignment="1">
      <alignment horizontal="center"/>
    </xf>
    <xf numFmtId="0" fontId="6" fillId="8" borderId="23" xfId="0" applyFont="1" applyFill="1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4" fillId="0" borderId="8" xfId="0" applyNumberFormat="1" applyFont="1" applyBorder="1" applyAlignment="1">
      <alignment horizontal="left" vertical="center"/>
    </xf>
    <xf numFmtId="164" fontId="4" fillId="0" borderId="9" xfId="0" applyNumberFormat="1" applyFont="1" applyBorder="1" applyAlignment="1">
      <alignment horizontal="left" vertical="center"/>
    </xf>
    <xf numFmtId="165" fontId="5" fillId="0" borderId="8" xfId="0" applyNumberFormat="1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9" fontId="6" fillId="8" borderId="22" xfId="2" applyNumberFormat="1" applyFont="1" applyFill="1" applyBorder="1" applyAlignment="1">
      <alignment horizontal="center" vertical="center"/>
    </xf>
    <xf numFmtId="170" fontId="5" fillId="7" borderId="21" xfId="0" applyNumberFormat="1" applyFont="1" applyFill="1" applyBorder="1" applyAlignment="1">
      <alignment horizontal="center"/>
    </xf>
    <xf numFmtId="170" fontId="6" fillId="8" borderId="3" xfId="1" applyNumberFormat="1" applyFont="1" applyFill="1" applyBorder="1" applyAlignment="1">
      <alignment horizontal="center"/>
    </xf>
    <xf numFmtId="170" fontId="4" fillId="9" borderId="3" xfId="1" applyNumberFormat="1" applyFont="1" applyFill="1" applyBorder="1" applyAlignment="1">
      <alignment horizontal="center"/>
    </xf>
    <xf numFmtId="170" fontId="4" fillId="7" borderId="3" xfId="1" applyNumberFormat="1" applyFont="1" applyFill="1" applyBorder="1" applyAlignment="1">
      <alignment horizontal="center"/>
    </xf>
    <xf numFmtId="170" fontId="5" fillId="9" borderId="3" xfId="1" applyNumberFormat="1" applyFont="1" applyFill="1" applyBorder="1" applyAlignment="1">
      <alignment horizontal="center"/>
    </xf>
    <xf numFmtId="170" fontId="6" fillId="8" borderId="5" xfId="1" applyNumberFormat="1" applyFont="1" applyFill="1" applyBorder="1" applyAlignment="1">
      <alignment horizontal="center"/>
    </xf>
    <xf numFmtId="170" fontId="5" fillId="10" borderId="6" xfId="1" applyNumberFormat="1" applyFont="1" applyFill="1" applyBorder="1" applyAlignment="1">
      <alignment horizontal="center"/>
    </xf>
    <xf numFmtId="170" fontId="6" fillId="8" borderId="6" xfId="1" applyNumberFormat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0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FF0000"/>
      </font>
    </dxf>
    <dxf>
      <font>
        <color theme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E9E961"/>
      <color rgb="FF00F4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Projeção de Faturamento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v>Projeção Faturamento</c:v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5-412E-B433-441C975D2FC8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85-412E-B433-441C975D2FC8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85-412E-B433-441C975D2FC8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85-412E-B433-441C975D2FC8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B85-412E-B433-441C975D2FC8}"/>
              </c:ext>
            </c:extLst>
          </c:dPt>
          <c:dLbls>
            <c:dLbl>
              <c:idx val="2"/>
              <c:layout>
                <c:manualLayout>
                  <c:x val="6.5518172651733344E-3"/>
                  <c:y val="4.8267980494231748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85-412E-B433-441C975D2FC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B85-412E-B433-441C975D2F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CONTROLE!$D$39:$D$43</c:f>
              <c:strCache>
                <c:ptCount val="5"/>
                <c:pt idx="0">
                  <c:v>Ruim</c:v>
                </c:pt>
                <c:pt idx="1">
                  <c:v>Regular</c:v>
                </c:pt>
                <c:pt idx="2">
                  <c:v>Bom</c:v>
                </c:pt>
                <c:pt idx="3">
                  <c:v>Ótimo</c:v>
                </c:pt>
                <c:pt idx="4">
                  <c:v>Fim</c:v>
                </c:pt>
              </c:strCache>
            </c:strRef>
          </c:cat>
          <c:val>
            <c:numRef>
              <c:f>CONTROLE!$E$39:$E$43</c:f>
              <c:numCache>
                <c:formatCode>General</c:formatCode>
                <c:ptCount val="5"/>
                <c:pt idx="0">
                  <c:v>40</c:v>
                </c:pt>
                <c:pt idx="1">
                  <c:v>40</c:v>
                </c:pt>
                <c:pt idx="2">
                  <c:v>10</c:v>
                </c:pt>
                <c:pt idx="3">
                  <c:v>10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B85-412E-B433-441C975D2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tx>
            <c:v>Ponteiros</c:v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B85-412E-B433-441C975D2FC8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B85-412E-B433-441C975D2FC8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B85-412E-B433-441C975D2FC8}"/>
              </c:ext>
            </c:extLst>
          </c:dPt>
          <c:dLbls>
            <c:dLbl>
              <c:idx val="1"/>
              <c:tx>
                <c:strRef>
                  <c:f>CONTROLE!$E$46</c:f>
                  <c:strCache>
                    <c:ptCount val="1"/>
                    <c:pt idx="0">
                      <c:v>39%</c:v>
                    </c:pt>
                  </c:strCache>
                </c:strRef>
              </c:tx>
              <c:spPr>
                <a:solidFill>
                  <a:srgbClr val="002060"/>
                </a:solidFill>
                <a:ln>
                  <a:noFill/>
                </a:ln>
                <a:effectLst>
                  <a:glow rad="139700">
                    <a:schemeClr val="accent2">
                      <a:satMod val="175000"/>
                      <a:alpha val="40000"/>
                    </a:schemeClr>
                  </a:glo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{4419B56E-094D-400D-8B15-444EC4635D67}</c15:txfldGUID>
                      <c15:f>CONTROLE!$E$46</c15:f>
                      <c15:dlblFieldTableCache>
                        <c:ptCount val="1"/>
                        <c:pt idx="0">
                          <c:v>39%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FB85-412E-B433-441C975D2FC8}"/>
                </c:ext>
              </c:extLst>
            </c:dLbl>
            <c:spPr>
              <a:solidFill>
                <a:srgbClr val="002060"/>
              </a:solidFill>
              <a:ln>
                <a:noFill/>
              </a:ln>
              <a:effectLst>
                <a:glow rad="139700">
                  <a:schemeClr val="accent2">
                    <a:satMod val="175000"/>
                    <a:alpha val="40000"/>
                  </a:schemeClr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CONTROLE!$E$46:$E$48</c:f>
              <c:numCache>
                <c:formatCode>0.00%</c:formatCode>
                <c:ptCount val="3"/>
                <c:pt idx="0" formatCode="0%">
                  <c:v>0.3853435378947368</c:v>
                </c:pt>
                <c:pt idx="1">
                  <c:v>1.4999999999999999E-2</c:v>
                </c:pt>
                <c:pt idx="2">
                  <c:v>1.5996564621052631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B85-412E-B433-441C975D2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'HISTÓRICO FATURAMENTO'!$B$1</c:f>
              <c:strCache>
                <c:ptCount val="1"/>
                <c:pt idx="0">
                  <c:v>FAT;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dLbl>
              <c:idx val="0"/>
              <c:layout>
                <c:manualLayout>
                  <c:x val="-3.1778178696773389E-17"/>
                  <c:y val="3.2738090123407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76-4562-A675-57FA9D446A18}"/>
                </c:ext>
              </c:extLst>
            </c:dLbl>
            <c:dLbl>
              <c:idx val="1"/>
              <c:layout>
                <c:manualLayout>
                  <c:x val="-3.1778178696773389E-17"/>
                  <c:y val="2.18253934156053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76-4562-A675-57FA9D446A18}"/>
                </c:ext>
              </c:extLst>
            </c:dLbl>
            <c:dLbl>
              <c:idx val="2"/>
              <c:layout>
                <c:manualLayout>
                  <c:x val="3.1778178696773389E-17"/>
                  <c:y val="2.18253934156053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76-4562-A675-57FA9D446A18}"/>
                </c:ext>
              </c:extLst>
            </c:dLbl>
            <c:dLbl>
              <c:idx val="3"/>
              <c:layout>
                <c:manualLayout>
                  <c:x val="-3.4667504510187742E-3"/>
                  <c:y val="4.36507868312106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76-4562-A675-57FA9D446A18}"/>
                </c:ext>
              </c:extLst>
            </c:dLbl>
            <c:dLbl>
              <c:idx val="4"/>
              <c:layout>
                <c:manualLayout>
                  <c:x val="0"/>
                  <c:y val="4.36507868312106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76-4562-A675-57FA9D446A18}"/>
                </c:ext>
              </c:extLst>
            </c:dLbl>
            <c:dLbl>
              <c:idx val="5"/>
              <c:layout>
                <c:manualLayout>
                  <c:x val="-3.4667504510187742E-3"/>
                  <c:y val="3.2738090123407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76-4562-A675-57FA9D446A18}"/>
                </c:ext>
              </c:extLst>
            </c:dLbl>
            <c:dLbl>
              <c:idx val="6"/>
              <c:layout>
                <c:manualLayout>
                  <c:x val="-6.3117731241650713E-17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E76-4562-A675-57FA9D446A18}"/>
                </c:ext>
              </c:extLst>
            </c:dLbl>
            <c:dLbl>
              <c:idx val="7"/>
              <c:layout>
                <c:manualLayout>
                  <c:x val="0"/>
                  <c:y val="4.36507868312106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76-4562-A675-57FA9D446A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'HISTÓRICO FATURAMENTO'!$A$2:$A$13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'HISTÓRICO FATURAMENTO'!$B$2:$B$13</c:f>
              <c:numCache>
                <c:formatCode>#,##0</c:formatCode>
                <c:ptCount val="12"/>
                <c:pt idx="0">
                  <c:v>1808934.32</c:v>
                </c:pt>
                <c:pt idx="1">
                  <c:v>2559726.8199999998</c:v>
                </c:pt>
                <c:pt idx="2">
                  <c:v>2015360.8900000001</c:v>
                </c:pt>
                <c:pt idx="3">
                  <c:v>1946307.6300000001</c:v>
                </c:pt>
                <c:pt idx="4">
                  <c:v>1418385.8499999999</c:v>
                </c:pt>
                <c:pt idx="5">
                  <c:v>1443510.7</c:v>
                </c:pt>
                <c:pt idx="6">
                  <c:v>3360919.4</c:v>
                </c:pt>
                <c:pt idx="7">
                  <c:v>2820169.07</c:v>
                </c:pt>
                <c:pt idx="8">
                  <c:v>1156030.6136842105</c:v>
                </c:pt>
                <c:pt idx="9">
                  <c:v>2996830.5599999996</c:v>
                </c:pt>
                <c:pt idx="10">
                  <c:v>1910295</c:v>
                </c:pt>
                <c:pt idx="11">
                  <c:v>417715.82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3-4168-9005-A77DD8548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352288"/>
        <c:axId val="558349768"/>
      </c:barChart>
      <c:dateAx>
        <c:axId val="558352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" spcFirstLastPara="1" vertOverflow="ellipsis" wrap="square" anchor="ctr" anchorCtr="1"/>
          <a:lstStyle/>
          <a:p>
            <a:pPr>
              <a:defRPr sz="6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8349768"/>
        <c:crosses val="autoZero"/>
        <c:auto val="1"/>
        <c:lblOffset val="100"/>
        <c:baseTimeUnit val="months"/>
      </c:dateAx>
      <c:valAx>
        <c:axId val="558349768"/>
        <c:scaling>
          <c:orientation val="minMax"/>
          <c:max val="60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8352288"/>
        <c:crosses val="autoZero"/>
        <c:crossBetween val="between"/>
        <c:majorUnit val="15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gif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508000</xdr:colOff>
      <xdr:row>12</xdr:row>
      <xdr:rowOff>158750</xdr:rowOff>
    </xdr:from>
    <xdr:to>
      <xdr:col>9</xdr:col>
      <xdr:colOff>582084</xdr:colOff>
      <xdr:row>15</xdr:row>
      <xdr:rowOff>127000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5686C7E7-6677-4F1A-ABAC-A1764B67A3E6}"/>
            </a:ext>
          </a:extLst>
        </xdr:cNvPr>
        <xdr:cNvSpPr/>
      </xdr:nvSpPr>
      <xdr:spPr>
        <a:xfrm>
          <a:off x="4910667" y="2180167"/>
          <a:ext cx="1301750" cy="5397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38099</xdr:colOff>
      <xdr:row>10</xdr:row>
      <xdr:rowOff>76200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0C1C9BB-7242-4A02-A068-AFDD96314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675" y="1838325"/>
          <a:ext cx="952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1558636</xdr:colOff>
      <xdr:row>2</xdr:row>
      <xdr:rowOff>25126</xdr:rowOff>
    </xdr:from>
    <xdr:to>
      <xdr:col>13</xdr:col>
      <xdr:colOff>20349</xdr:colOff>
      <xdr:row>22</xdr:row>
      <xdr:rowOff>192920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4224CA-5D72-440B-B341-804394442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31750</xdr:colOff>
      <xdr:row>18</xdr:row>
      <xdr:rowOff>31750</xdr:rowOff>
    </xdr:from>
    <xdr:to>
      <xdr:col>11</xdr:col>
      <xdr:colOff>577850</xdr:colOff>
      <xdr:row>24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36DD67-28DE-4809-A3CE-573DC19DA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101226</xdr:colOff>
      <xdr:row>2</xdr:row>
      <xdr:rowOff>48644</xdr:rowOff>
    </xdr:from>
    <xdr:to>
      <xdr:col>3</xdr:col>
      <xdr:colOff>550980</xdr:colOff>
      <xdr:row>4</xdr:row>
      <xdr:rowOff>131791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1C0E133-3AFE-70C0-1455-701B2556D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232" y="330064"/>
          <a:ext cx="449754" cy="461983"/>
        </a:xfrm>
        <a:prstGeom prst="rect">
          <a:avLst/>
        </a:prstGeom>
      </xdr:spPr>
    </xdr:pic>
    <xdr:clientData/>
  </xdr:twoCellAnchor>
  <xdr:twoCellAnchor editAs="oneCell">
    <xdr:from>
      <xdr:col>7</xdr:col>
      <xdr:colOff>592109</xdr:colOff>
      <xdr:row>9</xdr:row>
      <xdr:rowOff>34376</xdr:rowOff>
    </xdr:from>
    <xdr:to>
      <xdr:col>10</xdr:col>
      <xdr:colOff>17838</xdr:colOff>
      <xdr:row>15</xdr:row>
      <xdr:rowOff>174617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21BA369-2AB2-AFF8-3690-A1690399B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910" y="1668779"/>
          <a:ext cx="1309081" cy="1318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002060"/>
  </sheetPr>
  <dimension ref="C2:N51"/>
  <sheetViews>
    <sheetView showGridLines="0" tabSelected="1" topLeftCell="B1" zoomScale="88" zoomScaleNormal="85" workbookViewId="0">
      <selection activeCell="B1" sqref="B1:N27"/>
    </sheetView>
  </sheetViews>
  <sheetFormatPr defaultColWidth="0" defaultRowHeight="15.6" x14ac:dyDescent="0.3"/>
  <cols>
    <col min="2" max="2" width="2" customWidth="1"/>
    <col min="3" max="3" width="0.88671875" customWidth="1"/>
    <col min="4" max="4" width="37.109375" bestFit="1" customWidth="1"/>
    <col min="5" max="5" width="23.109375" style="26" customWidth="1"/>
    <col min="6" max="6" width="0.88671875" customWidth="1"/>
    <col min="7" max="12" width="9.109375"/>
    <col min="13" max="13" width="0.6640625" customWidth="1"/>
    <col min="14" max="14" width="1.88671875" customWidth="1"/>
    <col min="15" max="15" width="0" hidden="1" customWidth="1"/>
  </cols>
  <sheetData>
    <row r="2" spans="3:13" ht="6.75" customHeight="1" thickBot="1" x14ac:dyDescent="0.35">
      <c r="C2" s="12"/>
      <c r="D2" s="12"/>
      <c r="E2" s="20"/>
      <c r="F2" s="12"/>
      <c r="G2" s="12"/>
      <c r="H2" s="12"/>
      <c r="I2" s="12"/>
      <c r="J2" s="12"/>
      <c r="K2" s="12"/>
      <c r="L2" s="12"/>
      <c r="M2" s="12"/>
    </row>
    <row r="3" spans="3:13" ht="14.4" x14ac:dyDescent="0.3">
      <c r="C3" s="12"/>
      <c r="D3" s="2"/>
      <c r="E3" s="42" t="s">
        <v>0</v>
      </c>
      <c r="F3" s="12"/>
      <c r="G3" s="4"/>
      <c r="H3" s="5"/>
      <c r="I3" s="5"/>
      <c r="J3" s="5"/>
      <c r="K3" s="5"/>
      <c r="L3" s="6"/>
      <c r="M3" s="12"/>
    </row>
    <row r="4" spans="3:13" x14ac:dyDescent="0.3">
      <c r="C4" s="12"/>
      <c r="D4" s="38" t="s">
        <v>31</v>
      </c>
      <c r="E4" s="43"/>
      <c r="F4" s="12"/>
      <c r="G4" s="7"/>
      <c r="L4" s="8"/>
      <c r="M4" s="12"/>
    </row>
    <row r="5" spans="3:13" ht="15" thickBot="1" x14ac:dyDescent="0.35">
      <c r="C5" s="12"/>
      <c r="D5" s="3"/>
      <c r="E5" s="44"/>
      <c r="F5" s="12"/>
      <c r="G5" s="7"/>
      <c r="L5" s="8"/>
      <c r="M5" s="12"/>
    </row>
    <row r="6" spans="3:13" ht="14.4" customHeight="1" x14ac:dyDescent="0.3">
      <c r="C6" s="12"/>
      <c r="D6" s="46">
        <f ca="1">NOW()</f>
        <v>46058.438091550925</v>
      </c>
      <c r="E6" s="48">
        <f ca="1">D6</f>
        <v>46058.438091550925</v>
      </c>
      <c r="F6" s="12"/>
      <c r="G6" s="7"/>
      <c r="L6" s="8"/>
      <c r="M6" s="12"/>
    </row>
    <row r="7" spans="3:13" ht="15" customHeight="1" thickBot="1" x14ac:dyDescent="0.35">
      <c r="C7" s="12"/>
      <c r="D7" s="47"/>
      <c r="E7" s="49"/>
      <c r="F7" s="12"/>
      <c r="G7" s="7"/>
      <c r="L7" s="8"/>
      <c r="M7" s="12"/>
    </row>
    <row r="8" spans="3:13" ht="16.2" thickBot="1" x14ac:dyDescent="0.35">
      <c r="C8" s="12"/>
      <c r="D8" s="41" t="s">
        <v>32</v>
      </c>
      <c r="E8" s="50">
        <v>0.31</v>
      </c>
      <c r="F8" s="12"/>
      <c r="G8" s="7"/>
      <c r="L8" s="8"/>
      <c r="M8" s="12"/>
    </row>
    <row r="9" spans="3:13" x14ac:dyDescent="0.3">
      <c r="C9" s="12"/>
      <c r="D9" s="17" t="s">
        <v>1</v>
      </c>
      <c r="E9" s="27">
        <v>21</v>
      </c>
      <c r="F9" s="12"/>
      <c r="G9" s="7"/>
      <c r="L9" s="8"/>
      <c r="M9" s="12"/>
    </row>
    <row r="10" spans="3:13" x14ac:dyDescent="0.3">
      <c r="C10" s="12"/>
      <c r="D10" s="39" t="s">
        <v>2</v>
      </c>
      <c r="E10" s="40">
        <v>19</v>
      </c>
      <c r="F10" s="12"/>
      <c r="G10" s="7"/>
      <c r="L10" s="8"/>
      <c r="M10" s="12"/>
    </row>
    <row r="11" spans="3:13" x14ac:dyDescent="0.3">
      <c r="C11" s="12"/>
      <c r="D11" s="39" t="s">
        <v>33</v>
      </c>
      <c r="E11" s="51">
        <v>1045932.46</v>
      </c>
      <c r="F11" s="15"/>
      <c r="G11" s="7"/>
      <c r="L11" s="8"/>
      <c r="M11" s="12"/>
    </row>
    <row r="12" spans="3:13" x14ac:dyDescent="0.3">
      <c r="C12" s="12"/>
      <c r="D12" s="28" t="s">
        <v>34</v>
      </c>
      <c r="E12" s="52">
        <f>SUM(E11/E10)*E9</f>
        <v>1156030.6136842105</v>
      </c>
      <c r="F12" s="12"/>
      <c r="G12" s="7"/>
      <c r="L12" s="8"/>
      <c r="M12" s="12"/>
    </row>
    <row r="13" spans="3:13" x14ac:dyDescent="0.3">
      <c r="C13" s="12"/>
      <c r="D13" s="29" t="s">
        <v>35</v>
      </c>
      <c r="E13" s="53">
        <f>E12*E8</f>
        <v>358369.49024210527</v>
      </c>
      <c r="F13" s="12"/>
      <c r="G13" s="7"/>
      <c r="L13" s="8"/>
      <c r="M13" s="12"/>
    </row>
    <row r="14" spans="3:13" x14ac:dyDescent="0.3">
      <c r="C14" s="12"/>
      <c r="D14" s="39" t="s">
        <v>3</v>
      </c>
      <c r="E14" s="54">
        <v>526637.4224971775</v>
      </c>
      <c r="F14" s="12"/>
      <c r="G14" s="7"/>
      <c r="L14" s="8"/>
      <c r="M14" s="12"/>
    </row>
    <row r="15" spans="3:13" x14ac:dyDescent="0.3">
      <c r="C15" s="12"/>
      <c r="D15" s="30" t="s">
        <v>24</v>
      </c>
      <c r="E15" s="55">
        <f>E13-E14</f>
        <v>-168267.93225507223</v>
      </c>
      <c r="F15" s="12"/>
      <c r="G15" s="7"/>
      <c r="L15" s="8"/>
      <c r="M15" s="12"/>
    </row>
    <row r="16" spans="3:13" x14ac:dyDescent="0.3">
      <c r="C16" s="12"/>
      <c r="D16" s="39" t="s">
        <v>4</v>
      </c>
      <c r="E16" s="54">
        <v>447019</v>
      </c>
      <c r="F16" s="12"/>
      <c r="G16" s="7"/>
      <c r="L16" s="8"/>
      <c r="M16" s="12"/>
    </row>
    <row r="17" spans="3:14" ht="16.5" customHeight="1" thickBot="1" x14ac:dyDescent="0.35">
      <c r="C17" s="12"/>
      <c r="D17" s="30" t="s">
        <v>25</v>
      </c>
      <c r="E17" s="55">
        <f>E13-E14-E16</f>
        <v>-615286.93225507229</v>
      </c>
      <c r="F17" s="12"/>
      <c r="G17" s="9"/>
      <c r="H17" s="10"/>
      <c r="I17" s="10"/>
      <c r="J17" s="10"/>
      <c r="K17" s="10"/>
      <c r="L17" s="11"/>
      <c r="M17" s="12"/>
    </row>
    <row r="18" spans="3:14" ht="2.25" customHeight="1" thickBot="1" x14ac:dyDescent="0.35">
      <c r="C18" s="12"/>
      <c r="D18" s="18" t="s">
        <v>5</v>
      </c>
      <c r="E18" s="21">
        <f>(E16+E14)/E8</f>
        <v>3140827.1693457337</v>
      </c>
      <c r="F18" s="12"/>
      <c r="G18" s="12"/>
      <c r="H18" s="12"/>
      <c r="I18" s="12"/>
      <c r="J18" s="12"/>
      <c r="K18" s="12"/>
      <c r="L18" s="12"/>
      <c r="M18" s="12"/>
    </row>
    <row r="19" spans="3:14" ht="3" customHeight="1" thickBot="1" x14ac:dyDescent="0.35">
      <c r="C19" s="12"/>
      <c r="D19" s="19"/>
      <c r="E19" s="22"/>
      <c r="F19" s="12"/>
      <c r="G19" s="4"/>
      <c r="H19" s="5"/>
      <c r="I19" s="5"/>
      <c r="J19" s="5"/>
      <c r="K19" s="5"/>
      <c r="L19" s="6"/>
      <c r="M19" s="12"/>
    </row>
    <row r="20" spans="3:14" x14ac:dyDescent="0.3">
      <c r="C20" s="12"/>
      <c r="D20" s="31" t="s">
        <v>6</v>
      </c>
      <c r="E20" s="56">
        <v>3000000</v>
      </c>
      <c r="F20" s="12"/>
      <c r="G20" s="7"/>
      <c r="L20" s="8"/>
      <c r="M20" s="12"/>
      <c r="N20" s="16"/>
    </row>
    <row r="21" spans="3:14" x14ac:dyDescent="0.3">
      <c r="C21" s="12"/>
      <c r="D21" s="32" t="s">
        <v>7</v>
      </c>
      <c r="E21" s="57">
        <v>900000</v>
      </c>
      <c r="F21" s="12"/>
      <c r="G21" s="7"/>
      <c r="L21" s="8"/>
      <c r="M21" s="12"/>
    </row>
    <row r="22" spans="3:14" x14ac:dyDescent="0.3">
      <c r="C22" s="12"/>
      <c r="D22" s="32" t="s">
        <v>19</v>
      </c>
      <c r="E22" s="57">
        <f>E21/E9</f>
        <v>42857.142857142855</v>
      </c>
      <c r="F22" s="12"/>
      <c r="G22" s="7"/>
      <c r="L22" s="8"/>
      <c r="M22" s="12"/>
    </row>
    <row r="23" spans="3:14" x14ac:dyDescent="0.3">
      <c r="C23" s="12"/>
      <c r="D23" s="28" t="s">
        <v>18</v>
      </c>
      <c r="E23" s="58">
        <f>E20/E9</f>
        <v>142857.14285714287</v>
      </c>
      <c r="F23" s="12"/>
      <c r="G23" s="7"/>
      <c r="L23" s="8"/>
      <c r="M23" s="12"/>
    </row>
    <row r="24" spans="3:14" x14ac:dyDescent="0.3">
      <c r="C24" s="12"/>
      <c r="D24" s="33" t="s">
        <v>20</v>
      </c>
      <c r="E24" s="34">
        <f>E12/E20</f>
        <v>0.3853435378947368</v>
      </c>
      <c r="F24" s="12"/>
      <c r="G24" s="7"/>
      <c r="L24" s="8"/>
      <c r="M24" s="12"/>
    </row>
    <row r="25" spans="3:14" ht="16.2" thickBot="1" x14ac:dyDescent="0.35">
      <c r="C25" s="12"/>
      <c r="D25" s="28" t="s">
        <v>26</v>
      </c>
      <c r="E25" s="58">
        <f>SUM(E14+E16)/E8</f>
        <v>3140827.1693457337</v>
      </c>
      <c r="F25" s="12"/>
      <c r="G25" s="9"/>
      <c r="H25" s="10"/>
      <c r="I25" s="10"/>
      <c r="J25" s="10"/>
      <c r="K25" s="10"/>
      <c r="L25" s="11"/>
      <c r="M25" s="12"/>
    </row>
    <row r="26" spans="3:14" ht="5.25" customHeight="1" x14ac:dyDescent="0.3">
      <c r="C26" s="12"/>
      <c r="D26" s="12"/>
      <c r="E26" s="20"/>
      <c r="F26" s="12"/>
      <c r="G26" s="12"/>
      <c r="H26" s="12"/>
      <c r="I26" s="12"/>
      <c r="J26" s="12"/>
      <c r="K26" s="12"/>
      <c r="L26" s="12"/>
      <c r="M26" s="12"/>
    </row>
    <row r="27" spans="3:14" x14ac:dyDescent="0.3">
      <c r="E27" s="35"/>
    </row>
    <row r="37" spans="4:5" ht="14.4" x14ac:dyDescent="0.3">
      <c r="D37" s="45" t="s">
        <v>22</v>
      </c>
      <c r="E37" s="45"/>
    </row>
    <row r="38" spans="4:5" x14ac:dyDescent="0.3">
      <c r="D38" s="1" t="s">
        <v>8</v>
      </c>
      <c r="E38" s="23"/>
    </row>
    <row r="39" spans="4:5" x14ac:dyDescent="0.3">
      <c r="D39" s="1" t="s">
        <v>9</v>
      </c>
      <c r="E39" s="23">
        <v>40</v>
      </c>
    </row>
    <row r="40" spans="4:5" x14ac:dyDescent="0.3">
      <c r="D40" s="1" t="s">
        <v>10</v>
      </c>
      <c r="E40" s="23">
        <v>40</v>
      </c>
    </row>
    <row r="41" spans="4:5" x14ac:dyDescent="0.3">
      <c r="D41" s="1" t="s">
        <v>11</v>
      </c>
      <c r="E41" s="23">
        <v>10</v>
      </c>
    </row>
    <row r="42" spans="4:5" x14ac:dyDescent="0.3">
      <c r="D42" s="1" t="s">
        <v>12</v>
      </c>
      <c r="E42" s="23">
        <v>10</v>
      </c>
    </row>
    <row r="43" spans="4:5" x14ac:dyDescent="0.3">
      <c r="D43" s="1" t="s">
        <v>13</v>
      </c>
      <c r="E43" s="23">
        <v>100</v>
      </c>
    </row>
    <row r="44" spans="4:5" x14ac:dyDescent="0.3">
      <c r="D44" s="1"/>
      <c r="E44" s="23"/>
    </row>
    <row r="45" spans="4:5" x14ac:dyDescent="0.3">
      <c r="D45" s="1" t="s">
        <v>14</v>
      </c>
      <c r="E45" s="23"/>
    </row>
    <row r="46" spans="4:5" x14ac:dyDescent="0.3">
      <c r="D46" s="1" t="s">
        <v>15</v>
      </c>
      <c r="E46" s="24">
        <f>E24</f>
        <v>0.3853435378947368</v>
      </c>
    </row>
    <row r="47" spans="4:5" x14ac:dyDescent="0.3">
      <c r="D47" s="1" t="s">
        <v>16</v>
      </c>
      <c r="E47" s="25">
        <v>1.4999999999999999E-2</v>
      </c>
    </row>
    <row r="48" spans="4:5" x14ac:dyDescent="0.3">
      <c r="D48" s="1" t="s">
        <v>17</v>
      </c>
      <c r="E48" s="25">
        <f>200%-SUM(E46:E47)</f>
        <v>1.5996564621052631</v>
      </c>
    </row>
    <row r="50" spans="4:5" x14ac:dyDescent="0.3">
      <c r="D50" t="s">
        <v>29</v>
      </c>
      <c r="E50" s="37">
        <v>45860</v>
      </c>
    </row>
    <row r="51" spans="4:5" x14ac:dyDescent="0.3">
      <c r="D51" t="s">
        <v>30</v>
      </c>
      <c r="E51" s="26">
        <v>23</v>
      </c>
    </row>
  </sheetData>
  <mergeCells count="4">
    <mergeCell ref="E3:E5"/>
    <mergeCell ref="D37:E37"/>
    <mergeCell ref="D6:D7"/>
    <mergeCell ref="E6:E7"/>
  </mergeCells>
  <conditionalFormatting sqref="E15">
    <cfRule type="cellIs" dxfId="9" priority="11" operator="lessThan">
      <formula>0</formula>
    </cfRule>
  </conditionalFormatting>
  <conditionalFormatting sqref="E17:E25">
    <cfRule type="cellIs" dxfId="8" priority="12" operator="lessThan">
      <formula>0</formula>
    </cfRule>
  </conditionalFormatting>
  <conditionalFormatting sqref="E24">
    <cfRule type="cellIs" dxfId="7" priority="1" operator="lessThan">
      <formula>0.5962</formula>
    </cfRule>
    <cfRule type="cellIs" dxfId="6" priority="2" operator="greaterThan">
      <formula>0.5962</formula>
    </cfRule>
    <cfRule type="cellIs" dxfId="5" priority="3" operator="lessThan">
      <formula>0.6</formula>
    </cfRule>
    <cfRule type="cellIs" dxfId="4" priority="4" operator="greaterThan">
      <formula>0.6</formula>
    </cfRule>
    <cfRule type="cellIs" dxfId="3" priority="5" operator="lessThan">
      <formula>0.6</formula>
    </cfRule>
    <cfRule type="cellIs" dxfId="2" priority="7" operator="lessThan">
      <formula>0.65</formula>
    </cfRule>
    <cfRule type="cellIs" dxfId="1" priority="9" operator="lessThan">
      <formula>0.6501</formula>
    </cfRule>
    <cfRule type="cellIs" dxfId="0" priority="10" operator="lessThan">
      <formula>0.6524</formula>
    </cfRule>
  </conditionalFormatting>
  <pageMargins left="0.511811024" right="0.511811024" top="0.78740157499999996" bottom="0.78740157499999996" header="0.31496062000000002" footer="0.31496062000000002"/>
  <pageSetup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F13"/>
  <sheetViews>
    <sheetView showGridLines="0" zoomScale="70" zoomScaleNormal="70" workbookViewId="0">
      <selection activeCell="G36" sqref="G36"/>
    </sheetView>
  </sheetViews>
  <sheetFormatPr defaultRowHeight="14.4" x14ac:dyDescent="0.3"/>
  <cols>
    <col min="1" max="1" width="13.88671875" bestFit="1" customWidth="1"/>
    <col min="2" max="2" width="15.109375" bestFit="1" customWidth="1"/>
    <col min="3" max="15" width="13.88671875" bestFit="1" customWidth="1"/>
  </cols>
  <sheetData>
    <row r="1" spans="1:6" ht="17.399999999999999" x14ac:dyDescent="0.3">
      <c r="A1" s="14" t="s">
        <v>23</v>
      </c>
      <c r="B1" s="14" t="s">
        <v>21</v>
      </c>
    </row>
    <row r="2" spans="1:6" ht="17.399999999999999" x14ac:dyDescent="0.3">
      <c r="A2" s="36">
        <v>45658</v>
      </c>
      <c r="B2" s="13">
        <v>1808934.32</v>
      </c>
      <c r="F2" t="s">
        <v>27</v>
      </c>
    </row>
    <row r="3" spans="1:6" ht="17.399999999999999" x14ac:dyDescent="0.3">
      <c r="A3" s="36">
        <v>45689</v>
      </c>
      <c r="B3" s="13">
        <v>2559726.8199999998</v>
      </c>
      <c r="F3" t="s">
        <v>28</v>
      </c>
    </row>
    <row r="4" spans="1:6" ht="17.399999999999999" x14ac:dyDescent="0.3">
      <c r="A4" s="36">
        <v>45717</v>
      </c>
      <c r="B4" s="13">
        <v>2015360.8900000001</v>
      </c>
    </row>
    <row r="5" spans="1:6" ht="17.399999999999999" x14ac:dyDescent="0.3">
      <c r="A5" s="36">
        <v>45748</v>
      </c>
      <c r="B5" s="13">
        <v>1946307.6300000001</v>
      </c>
    </row>
    <row r="6" spans="1:6" ht="17.399999999999999" x14ac:dyDescent="0.3">
      <c r="A6" s="36">
        <v>45778</v>
      </c>
      <c r="B6" s="13">
        <v>1418385.8499999999</v>
      </c>
    </row>
    <row r="7" spans="1:6" ht="17.399999999999999" x14ac:dyDescent="0.3">
      <c r="A7" s="36">
        <v>45809</v>
      </c>
      <c r="B7" s="13">
        <v>1443510.7</v>
      </c>
    </row>
    <row r="8" spans="1:6" ht="17.399999999999999" x14ac:dyDescent="0.3">
      <c r="A8" s="36">
        <v>45839</v>
      </c>
      <c r="B8" s="13">
        <v>3360919.4</v>
      </c>
    </row>
    <row r="9" spans="1:6" ht="17.399999999999999" x14ac:dyDescent="0.3">
      <c r="A9" s="36">
        <v>45870</v>
      </c>
      <c r="B9" s="13">
        <v>2820169.07</v>
      </c>
    </row>
    <row r="10" spans="1:6" ht="17.399999999999999" x14ac:dyDescent="0.3">
      <c r="A10" s="36">
        <v>45901</v>
      </c>
      <c r="B10" s="13">
        <f>CONTROLE!E12</f>
        <v>1156030.6136842105</v>
      </c>
    </row>
    <row r="11" spans="1:6" ht="17.399999999999999" x14ac:dyDescent="0.3">
      <c r="A11" s="36">
        <v>45931</v>
      </c>
      <c r="B11" s="13">
        <v>2996830.5599999996</v>
      </c>
    </row>
    <row r="12" spans="1:6" ht="17.399999999999999" x14ac:dyDescent="0.3">
      <c r="A12" s="36">
        <v>45962</v>
      </c>
      <c r="B12" s="13">
        <v>1910295</v>
      </c>
    </row>
    <row r="13" spans="1:6" ht="17.399999999999999" x14ac:dyDescent="0.3">
      <c r="A13" s="36">
        <v>45992</v>
      </c>
      <c r="B13" s="13">
        <v>417715.82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6f3d7b-8579-41e9-96f6-e37d454cd588">
      <Terms xmlns="http://schemas.microsoft.com/office/infopath/2007/PartnerControls"/>
    </lcf76f155ced4ddcb4097134ff3c332f>
    <TaxCatchAll xmlns="1256a118-0880-4e25-8683-7325fb6e45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5DA3B234DB0D419C0D86CE3A74E672" ma:contentTypeVersion="13" ma:contentTypeDescription="Crie um novo documento." ma:contentTypeScope="" ma:versionID="430fb51f5faa5540f2335ec70accdad9">
  <xsd:schema xmlns:xsd="http://www.w3.org/2001/XMLSchema" xmlns:xs="http://www.w3.org/2001/XMLSchema" xmlns:p="http://schemas.microsoft.com/office/2006/metadata/properties" xmlns:ns2="b86f3d7b-8579-41e9-96f6-e37d454cd588" xmlns:ns3="1256a118-0880-4e25-8683-7325fb6e45d1" targetNamespace="http://schemas.microsoft.com/office/2006/metadata/properties" ma:root="true" ma:fieldsID="bf6ab14b76df4835e3630feb362d3094" ns2:_="" ns3:_="">
    <xsd:import namespace="b86f3d7b-8579-41e9-96f6-e37d454cd588"/>
    <xsd:import namespace="1256a118-0880-4e25-8683-7325fb6e45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f3d7b-8579-41e9-96f6-e37d454cd5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a5b04bb-7626-442b-8855-0240e3de40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56a118-0880-4e25-8683-7325fb6e45d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8704ef-f11f-466d-ace7-9eaebd3f4cbf}" ma:internalName="TaxCatchAll" ma:showField="CatchAllData" ma:web="1256a118-0880-4e25-8683-7325fb6e45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27CBAA-85FB-4C86-9AFE-5A1B8C05C0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9BD416-D78D-44A3-9099-CEB1EFA6F1CF}">
  <ds:schemaRefs>
    <ds:schemaRef ds:uri="http://schemas.microsoft.com/office/2006/metadata/properties"/>
    <ds:schemaRef ds:uri="http://www.w3.org/2000/xmlns/"/>
    <ds:schemaRef ds:uri="b86f3d7b-8579-41e9-96f6-e37d454cd588"/>
    <ds:schemaRef ds:uri="http://schemas.microsoft.com/office/infopath/2007/PartnerControls"/>
    <ds:schemaRef ds:uri="1256a118-0880-4e25-8683-7325fb6e45d1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9B4F837B-8334-4CDF-9C02-C589541514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6f3d7b-8579-41e9-96f6-e37d454cd588"/>
    <ds:schemaRef ds:uri="1256a118-0880-4e25-8683-7325fb6e45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</vt:lpstr>
      <vt:lpstr>HISTÓRICO FATURAMENTO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Philipp</cp:lastModifiedBy>
  <dcterms:created xsi:type="dcterms:W3CDTF">2022-06-01T18:06:18Z</dcterms:created>
  <dcterms:modified xsi:type="dcterms:W3CDTF">2026-02-05T13:32:36Z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0x010100C65DA3B234DB0D419C0D86CE3A74E672</vt:lpwstr>
  </property>
</Properties>
</file>